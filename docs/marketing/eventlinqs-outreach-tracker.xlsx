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ipeline" sheetId="1" state="visible" r:id="rId3"/>
    <sheet name="Dashboard" sheetId="2" state="visible" r:id="rId4"/>
    <sheet name="How To Us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<sst xmlns="http://schemas.openxmlformats.org/spreadsheetml/2006/main" count="92" uniqueCount="87">
  <si>
    <t xml:space="preserve">EVENTLINQS  |  ORGANISER OUTREACH PIPELINE</t>
  </si>
  <si>
    <t xml:space="preserve">Log every prospect here. Drive it from the Follow-Up Today view. Update Status and dates after every touch.</t>
  </si>
  <si>
    <t xml:space="preserve">Organiser / Venue</t>
  </si>
  <si>
    <t xml:space="preserve">Contact Name</t>
  </si>
  <si>
    <t xml:space="preserve">City</t>
  </si>
  <si>
    <t xml:space="preserve">Event Type</t>
  </si>
  <si>
    <t xml:space="preserve">Current Platform</t>
  </si>
  <si>
    <t xml:space="preserve">Channel</t>
  </si>
  <si>
    <t xml:space="preserve">Contact (handle/email)</t>
  </si>
  <si>
    <t xml:space="preserve">Personalisation Note</t>
  </si>
  <si>
    <t xml:space="preserve">Status</t>
  </si>
  <si>
    <t xml:space="preserve">Priority</t>
  </si>
  <si>
    <t xml:space="preserve">First Touch Date</t>
  </si>
  <si>
    <t xml:space="preserve">Last Touch Date</t>
  </si>
  <si>
    <t xml:space="preserve">Touches</t>
  </si>
  <si>
    <t xml:space="preserve">Next Action Date</t>
  </si>
  <si>
    <t xml:space="preserve">Referred By</t>
  </si>
  <si>
    <t xml:space="preserve">Notes</t>
  </si>
  <si>
    <t xml:space="preserve">The Basement Comedy</t>
  </si>
  <si>
    <t xml:space="preserve">Sam R.</t>
  </si>
  <si>
    <t xml:space="preserve">Geelong</t>
  </si>
  <si>
    <t xml:space="preserve">Comedy night</t>
  </si>
  <si>
    <t xml:space="preserve">Eventbrite</t>
  </si>
  <si>
    <t xml:space="preserve">Instagram DM</t>
  </si>
  <si>
    <t xml:space="preserve">@basementcomedy</t>
  </si>
  <si>
    <t xml:space="preserve">Runs weekly Thurs, ~80 cap, fee pain likely</t>
  </si>
  <si>
    <t xml:space="preserve">To Contact</t>
  </si>
  <si>
    <t xml:space="preserve">High</t>
  </si>
  <si>
    <t xml:space="preserve">Pako Festa stallholder</t>
  </si>
  <si>
    <t xml:space="preserve">Maria L.</t>
  </si>
  <si>
    <t xml:space="preserve">Market</t>
  </si>
  <si>
    <t xml:space="preserve">None</t>
  </si>
  <si>
    <t xml:space="preserve">Email</t>
  </si>
  <si>
    <t xml:space="preserve">maria@example.com</t>
  </si>
  <si>
    <t xml:space="preserve">Free community market, needs registrations</t>
  </si>
  <si>
    <t xml:space="preserve">Fitzroy Run Club</t>
  </si>
  <si>
    <t xml:space="preserve">Dan K.</t>
  </si>
  <si>
    <t xml:space="preserve">Melbourne</t>
  </si>
  <si>
    <t xml:space="preserve">Fitness</t>
  </si>
  <si>
    <t xml:space="preserve">TryBooking</t>
  </si>
  <si>
    <t xml:space="preserve">@fitzroyrunclub</t>
  </si>
  <si>
    <t xml:space="preserve">Recurring, sticky once on, warm intro possible</t>
  </si>
  <si>
    <t xml:space="preserve">Medium</t>
  </si>
  <si>
    <t xml:space="preserve">WEEKLY DASHBOARD</t>
  </si>
  <si>
    <t xml:space="preserve">Total prospects logged</t>
  </si>
  <si>
    <t xml:space="preserve">FOUNDING SPOTS</t>
  </si>
  <si>
    <t xml:space="preserve">To contact</t>
  </si>
  <si>
    <t xml:space="preserve">Total founding spots</t>
  </si>
  <si>
    <t xml:space="preserve">Contacted</t>
  </si>
  <si>
    <t xml:space="preserve">Signed (Signed Up + Event Live)</t>
  </si>
  <si>
    <t xml:space="preserve">Replied</t>
  </si>
  <si>
    <t xml:space="preserve">Spots remaining</t>
  </si>
  <si>
    <t xml:space="preserve">In conversation</t>
  </si>
  <si>
    <t xml:space="preserve">Demos booked</t>
  </si>
  <si>
    <t xml:space="preserve">CONVERSION</t>
  </si>
  <si>
    <t xml:space="preserve">Signed up</t>
  </si>
  <si>
    <t xml:space="preserve">Reply rate</t>
  </si>
  <si>
    <t xml:space="preserve">Events live</t>
  </si>
  <si>
    <t xml:space="preserve">Signup rate (of contacted)</t>
  </si>
  <si>
    <t xml:space="preserve">Not interested</t>
  </si>
  <si>
    <t xml:space="preserve">Weekly target: 30 to 40 first touches per day. Ask every signed organiser for one referral. Review this board every Friday.</t>
  </si>
  <si>
    <t xml:space="preserve">EVENTLINQS OUTREACH TRACKER</t>
  </si>
  <si>
    <t xml:space="preserve">This one file is your whole outreach brain. Three sheets:</t>
  </si>
  <si>
    <t xml:space="preserve">1. Pipeline: every prospect, one row. This is where you live day to day.</t>
  </si>
  <si>
    <t xml:space="preserve">2. Dashboard: live counts and conversion rates. Read it every Friday.</t>
  </si>
  <si>
    <t xml:space="preserve">3. How To Use: this page.</t>
  </si>
  <si>
    <t xml:space="preserve">DAILY RHYTHM</t>
  </si>
  <si>
    <t xml:space="preserve">Morning: sort Pipeline by Next Action Date. Anyone due today or overdue gets actioned first.</t>
  </si>
  <si>
    <t xml:space="preserve">Then: log 40 new prospects, send 30 to 40 first touches, update Status and dates as you go.</t>
  </si>
  <si>
    <t xml:space="preserve">After every touch: set Last Touch Date, bump Touches by 1, set the Next Action Date for the follow-up.</t>
  </si>
  <si>
    <t xml:space="preserve">THE STATUS LADDER (drag prospects down it)</t>
  </si>
  <si>
    <t xml:space="preserve">To Contact &gt; Contacted &gt; Replied &gt; In Conversation &gt; Demo Booked &gt; Signed Up &gt; Event Live</t>
  </si>
  <si>
    <t xml:space="preserve">Dead ends: Not Interested (park politely) or Parked (revisit in 60 days).</t>
  </si>
  <si>
    <t xml:space="preserve">FOLLOW-UP CADENCE PER PROSPECT (max 3 asks, never argue)</t>
  </si>
  <si>
    <t xml:space="preserve">Day 0: engage (follow + one genuine comment). Day 1: first DM. Day 4: light follow-up.</t>
  </si>
  <si>
    <t xml:space="preserve">Day 8: email if findable, different angle. Day 15: final value touch, then Park for 60 days.</t>
  </si>
  <si>
    <t xml:space="preserve">FILTER FOR FOLLOW-UPS (the answer to 'what needs follow-up this week')</t>
  </si>
  <si>
    <t xml:space="preserve">Click any cell in the header row (row 3 of Pipeline), then Data &gt; Create a filter (Sheets) or Filter (Excel).</t>
  </si>
  <si>
    <t xml:space="preserve">To see today's follow-ups: filter Next Action Date to on or before today.</t>
  </si>
  <si>
    <t xml:space="preserve">To work a city: filter City to Geelong. To work hot leads: filter Priority to High.</t>
  </si>
  <si>
    <t xml:space="preserve">IF YOU PREFER NOTION</t>
  </si>
  <si>
    <t xml:space="preserve">File &gt; Import &gt; this file, or paste the Pipeline sheet into a Notion database. Turn Status into a board view</t>
  </si>
  <si>
    <t xml:space="preserve">(kanban) and you can drag prospects between columns. Same data, nicer to look at. Keep it on your phone.</t>
  </si>
  <si>
    <t xml:space="preserve">RULES THAT DO NOT BEND</t>
  </si>
  <si>
    <t xml:space="preserve">One offer, one wording: zero platform fees for 6 months, extendable 3 months per successful referral, first 50 only.</t>
  </si>
  <si>
    <t xml:space="preserve">Only verified fees in any message: $2.19 all-in on a $20 ticket, organiser keeps the full $20.</t>
  </si>
  <si>
    <t xml:space="preserve">Australian English, no dashes, community never the other word.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</si>
</sst>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3D5AFE"/>
      <name val="Arial"/>
      <family val="0"/>
      <charset val="1"/>
    </font>
    <font>
      <b val="true"/>
      <sz val="12"/>
      <color rgb="FF1B873F"/>
      <name val="Arial"/>
      <family val="0"/>
      <charset val="1"/>
    </font>
    <font>
      <b val="true"/>
      <sz val="11"/>
      <color rgb="FF3D5AF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A1A2E"/>
        <bgColor rgb="FF333300"/>
      </patternFill>
    </fill>
    <fill>
      <patternFill patternType="solid">
        <fgColor rgb="FF3D5AFE"/>
        <bgColor rgb="FF0066CC"/>
      </patternFill>
    </fill>
    <fill>
      <patternFill patternType="solid">
        <fgColor rgb="FFE8EDFF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D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D5AFE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1B873F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24"/>
    <col collapsed="false" customWidth="true" hidden="false" outlineLevel="0" max="8" min="8" style="0" width="30"/>
    <col collapsed="false" customWidth="true" hidden="false" outlineLevel="0" max="9" min="9" style="0" width="16"/>
    <col collapsed="false" customWidth="true" hidden="false" outlineLevel="0" max="10" min="10" style="0" width="11"/>
    <col collapsed="false" customWidth="true" hidden="false" outlineLevel="0" max="12" min="11" style="0" width="15"/>
    <col collapsed="false" customWidth="true" hidden="false" outlineLevel="0" max="13" min="13" style="0" width="10"/>
    <col collapsed="false" customWidth="true" hidden="false" outlineLevel="0" max="15" min="14" style="0" width="16"/>
    <col collapsed="false" customWidth="true" hidden="false" outlineLevel="0" max="16" min="16" style="0" width="3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</row>
    <row r="4" customFormat="false" ht="23.85" hidden="false" customHeight="false" outlineLevel="0" collapsed="false">
      <c r="A4" s="4" t="s">
        <v>18</v>
      </c>
      <c r="B4" s="4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4" t="s">
        <v>24</v>
      </c>
      <c r="H4" s="4" t="s">
        <v>25</v>
      </c>
      <c r="I4" s="5" t="s">
        <v>26</v>
      </c>
      <c r="J4" s="5" t="s">
        <v>27</v>
      </c>
      <c r="K4" s="5"/>
      <c r="L4" s="5"/>
      <c r="M4" s="5" t="n">
        <v>0</v>
      </c>
      <c r="N4" s="5"/>
      <c r="O4" s="5"/>
      <c r="P4" s="4"/>
    </row>
    <row r="5" customFormat="false" ht="23.85" hidden="false" customHeight="false" outlineLevel="0" collapsed="false">
      <c r="A5" s="4" t="s">
        <v>28</v>
      </c>
      <c r="B5" s="4" t="s">
        <v>29</v>
      </c>
      <c r="C5" s="5" t="s">
        <v>20</v>
      </c>
      <c r="D5" s="5" t="s">
        <v>30</v>
      </c>
      <c r="E5" s="5" t="s">
        <v>31</v>
      </c>
      <c r="F5" s="5" t="s">
        <v>32</v>
      </c>
      <c r="G5" s="4" t="s">
        <v>33</v>
      </c>
      <c r="H5" s="4" t="s">
        <v>34</v>
      </c>
      <c r="I5" s="5" t="s">
        <v>26</v>
      </c>
      <c r="J5" s="5" t="s">
        <v>27</v>
      </c>
      <c r="K5" s="5"/>
      <c r="L5" s="5"/>
      <c r="M5" s="5" t="n">
        <v>0</v>
      </c>
      <c r="N5" s="5"/>
      <c r="O5" s="5"/>
      <c r="P5" s="4"/>
    </row>
    <row r="6" customFormat="false" ht="23.85" hidden="false" customHeight="false" outlineLevel="0" collapsed="false">
      <c r="A6" s="4" t="s">
        <v>35</v>
      </c>
      <c r="B6" s="4" t="s">
        <v>36</v>
      </c>
      <c r="C6" s="5" t="s">
        <v>37</v>
      </c>
      <c r="D6" s="5" t="s">
        <v>38</v>
      </c>
      <c r="E6" s="5" t="s">
        <v>39</v>
      </c>
      <c r="F6" s="5" t="s">
        <v>23</v>
      </c>
      <c r="G6" s="4" t="s">
        <v>40</v>
      </c>
      <c r="H6" s="4" t="s">
        <v>41</v>
      </c>
      <c r="I6" s="5" t="s">
        <v>26</v>
      </c>
      <c r="J6" s="5" t="s">
        <v>42</v>
      </c>
      <c r="K6" s="5"/>
      <c r="L6" s="5"/>
      <c r="M6" s="5" t="n">
        <v>0</v>
      </c>
      <c r="N6" s="5"/>
      <c r="O6" s="5"/>
      <c r="P6" s="4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5" t="n">
        <v>0</v>
      </c>
      <c r="N7" s="6"/>
      <c r="O7" s="6"/>
      <c r="P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5" t="n">
        <v>0</v>
      </c>
      <c r="N8" s="6"/>
      <c r="O8" s="6"/>
      <c r="P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5" t="n">
        <v>0</v>
      </c>
      <c r="N9" s="6"/>
      <c r="O9" s="6"/>
      <c r="P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5" t="n">
        <v>0</v>
      </c>
      <c r="N10" s="6"/>
      <c r="O10" s="6"/>
      <c r="P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5" t="n">
        <v>0</v>
      </c>
      <c r="N11" s="6"/>
      <c r="O11" s="6"/>
      <c r="P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5" t="n">
        <v>0</v>
      </c>
      <c r="N12" s="6"/>
      <c r="O12" s="6"/>
      <c r="P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5" t="n">
        <v>0</v>
      </c>
      <c r="N13" s="6"/>
      <c r="O13" s="6"/>
      <c r="P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5" t="n">
        <v>0</v>
      </c>
      <c r="N14" s="6"/>
      <c r="O14" s="6"/>
      <c r="P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5" t="n">
        <v>0</v>
      </c>
      <c r="N15" s="6"/>
      <c r="O15" s="6"/>
      <c r="P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5" t="n">
        <v>0</v>
      </c>
      <c r="N16" s="6"/>
      <c r="O16" s="6"/>
      <c r="P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5" t="n">
        <v>0</v>
      </c>
      <c r="N17" s="6"/>
      <c r="O17" s="6"/>
      <c r="P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5" t="n">
        <v>0</v>
      </c>
      <c r="N18" s="6"/>
      <c r="O18" s="6"/>
      <c r="P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5" t="n">
        <v>0</v>
      </c>
      <c r="N19" s="6"/>
      <c r="O19" s="6"/>
      <c r="P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5" t="n">
        <v>0</v>
      </c>
      <c r="N20" s="6"/>
      <c r="O20" s="6"/>
      <c r="P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5" t="n">
        <v>0</v>
      </c>
      <c r="N21" s="6"/>
      <c r="O21" s="6"/>
      <c r="P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5" t="n">
        <v>0</v>
      </c>
      <c r="N22" s="6"/>
      <c r="O22" s="6"/>
      <c r="P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5" t="n">
        <v>0</v>
      </c>
      <c r="N23" s="6"/>
      <c r="O23" s="6"/>
      <c r="P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5" t="n">
        <v>0</v>
      </c>
      <c r="N24" s="6"/>
      <c r="O24" s="6"/>
      <c r="P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5" t="n">
        <v>0</v>
      </c>
      <c r="N25" s="6"/>
      <c r="O25" s="6"/>
      <c r="P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5" t="n">
        <v>0</v>
      </c>
      <c r="N26" s="6"/>
      <c r="O26" s="6"/>
      <c r="P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5" t="n">
        <v>0</v>
      </c>
      <c r="N27" s="6"/>
      <c r="O27" s="6"/>
      <c r="P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5" t="n">
        <v>0</v>
      </c>
      <c r="N28" s="6"/>
      <c r="O28" s="6"/>
      <c r="P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5" t="n">
        <v>0</v>
      </c>
      <c r="N29" s="6"/>
      <c r="O29" s="6"/>
      <c r="P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5" t="n">
        <v>0</v>
      </c>
      <c r="N30" s="6"/>
      <c r="O30" s="6"/>
      <c r="P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5" t="n">
        <v>0</v>
      </c>
      <c r="N31" s="6"/>
      <c r="O31" s="6"/>
      <c r="P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5" t="n">
        <v>0</v>
      </c>
      <c r="N32" s="6"/>
      <c r="O32" s="6"/>
      <c r="P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5" t="n">
        <v>0</v>
      </c>
      <c r="N33" s="6"/>
      <c r="O33" s="6"/>
      <c r="P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5" t="n">
        <v>0</v>
      </c>
      <c r="N34" s="6"/>
      <c r="O34" s="6"/>
      <c r="P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5" t="n">
        <v>0</v>
      </c>
      <c r="N35" s="6"/>
      <c r="O35" s="6"/>
      <c r="P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5" t="n">
        <v>0</v>
      </c>
      <c r="N36" s="6"/>
      <c r="O36" s="6"/>
      <c r="P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5" t="n">
        <v>0</v>
      </c>
      <c r="N37" s="6"/>
      <c r="O37" s="6"/>
      <c r="P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5" t="n">
        <v>0</v>
      </c>
      <c r="N38" s="6"/>
      <c r="O38" s="6"/>
      <c r="P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5" t="n">
        <v>0</v>
      </c>
      <c r="N39" s="6"/>
      <c r="O39" s="6"/>
      <c r="P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5" t="n">
        <v>0</v>
      </c>
      <c r="N40" s="6"/>
      <c r="O40" s="6"/>
      <c r="P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5" t="n">
        <v>0</v>
      </c>
      <c r="N41" s="6"/>
      <c r="O41" s="6"/>
      <c r="P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5" t="n">
        <v>0</v>
      </c>
      <c r="N42" s="6"/>
      <c r="O42" s="6"/>
      <c r="P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5" t="n">
        <v>0</v>
      </c>
      <c r="N43" s="6"/>
      <c r="O43" s="6"/>
      <c r="P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5" t="n">
        <v>0</v>
      </c>
      <c r="N44" s="6"/>
      <c r="O44" s="6"/>
      <c r="P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5" t="n">
        <v>0</v>
      </c>
      <c r="N45" s="6"/>
      <c r="O45" s="6"/>
      <c r="P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5" t="n">
        <v>0</v>
      </c>
      <c r="N46" s="6"/>
      <c r="O46" s="6"/>
      <c r="P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5" t="n">
        <v>0</v>
      </c>
      <c r="N47" s="6"/>
      <c r="O47" s="6"/>
      <c r="P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5" t="n">
        <v>0</v>
      </c>
      <c r="N48" s="6"/>
      <c r="O48" s="6"/>
      <c r="P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5" t="n">
        <v>0</v>
      </c>
      <c r="N49" s="6"/>
      <c r="O49" s="6"/>
      <c r="P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5" t="n">
        <v>0</v>
      </c>
      <c r="N50" s="6"/>
      <c r="O50" s="6"/>
      <c r="P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5" t="n">
        <v>0</v>
      </c>
      <c r="N51" s="6"/>
      <c r="O51" s="6"/>
      <c r="P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5" t="n">
        <v>0</v>
      </c>
      <c r="N52" s="6"/>
      <c r="O52" s="6"/>
      <c r="P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5" t="n">
        <v>0</v>
      </c>
      <c r="N53" s="6"/>
      <c r="O53" s="6"/>
      <c r="P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5" t="n">
        <v>0</v>
      </c>
      <c r="N54" s="6"/>
      <c r="O54" s="6"/>
      <c r="P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5" t="n">
        <v>0</v>
      </c>
      <c r="N55" s="6"/>
      <c r="O55" s="6"/>
      <c r="P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5" t="n">
        <v>0</v>
      </c>
      <c r="N56" s="6"/>
      <c r="O56" s="6"/>
      <c r="P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5" t="n">
        <v>0</v>
      </c>
      <c r="N57" s="6"/>
      <c r="O57" s="6"/>
      <c r="P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5" t="n">
        <v>0</v>
      </c>
      <c r="N58" s="6"/>
      <c r="O58" s="6"/>
      <c r="P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5" t="n">
        <v>0</v>
      </c>
      <c r="N59" s="6"/>
      <c r="O59" s="6"/>
      <c r="P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5" t="n">
        <v>0</v>
      </c>
      <c r="N60" s="6"/>
      <c r="O60" s="6"/>
      <c r="P60" s="6"/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5" t="n">
        <v>0</v>
      </c>
      <c r="N61" s="6"/>
      <c r="O61" s="6"/>
      <c r="P61" s="6"/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5" t="n">
        <v>0</v>
      </c>
      <c r="N62" s="6"/>
      <c r="O62" s="6"/>
      <c r="P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5" t="n">
        <v>0</v>
      </c>
      <c r="N63" s="6"/>
      <c r="O63" s="6"/>
      <c r="P63" s="6"/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5" t="n">
        <v>0</v>
      </c>
      <c r="N64" s="6"/>
      <c r="O64" s="6"/>
      <c r="P64" s="6"/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5" t="n">
        <v>0</v>
      </c>
      <c r="N65" s="6"/>
      <c r="O65" s="6"/>
      <c r="P65" s="6"/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5" t="n">
        <v>0</v>
      </c>
      <c r="N66" s="6"/>
      <c r="O66" s="6"/>
      <c r="P66" s="6"/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5" t="n">
        <v>0</v>
      </c>
      <c r="N67" s="6"/>
      <c r="O67" s="6"/>
      <c r="P67" s="6"/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5" t="n">
        <v>0</v>
      </c>
      <c r="N68" s="6"/>
      <c r="O68" s="6"/>
      <c r="P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5" t="n">
        <v>0</v>
      </c>
      <c r="N69" s="6"/>
      <c r="O69" s="6"/>
      <c r="P69" s="6"/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5" t="n">
        <v>0</v>
      </c>
      <c r="N70" s="6"/>
      <c r="O70" s="6"/>
      <c r="P70" s="6"/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5" t="n">
        <v>0</v>
      </c>
      <c r="N71" s="6"/>
      <c r="O71" s="6"/>
      <c r="P71" s="6"/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5" t="n">
        <v>0</v>
      </c>
      <c r="N72" s="6"/>
      <c r="O72" s="6"/>
      <c r="P72" s="6"/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5" t="n">
        <v>0</v>
      </c>
      <c r="N73" s="6"/>
      <c r="O73" s="6"/>
      <c r="P73" s="6"/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5" t="n">
        <v>0</v>
      </c>
      <c r="N74" s="6"/>
      <c r="O74" s="6"/>
      <c r="P74" s="6"/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5" t="n">
        <v>0</v>
      </c>
      <c r="N75" s="6"/>
      <c r="O75" s="6"/>
      <c r="P75" s="6"/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5" t="n">
        <v>0</v>
      </c>
      <c r="N76" s="6"/>
      <c r="O76" s="6"/>
      <c r="P76" s="6"/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5" t="n">
        <v>0</v>
      </c>
      <c r="N77" s="6"/>
      <c r="O77" s="6"/>
      <c r="P77" s="6"/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5" t="n">
        <v>0</v>
      </c>
      <c r="N78" s="6"/>
      <c r="O78" s="6"/>
      <c r="P78" s="6"/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5" t="n">
        <v>0</v>
      </c>
      <c r="N79" s="6"/>
      <c r="O79" s="6"/>
      <c r="P79" s="6"/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5" t="n">
        <v>0</v>
      </c>
      <c r="N80" s="6"/>
      <c r="O80" s="6"/>
      <c r="P80" s="6"/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5" t="n">
        <v>0</v>
      </c>
      <c r="N81" s="6"/>
      <c r="O81" s="6"/>
      <c r="P81" s="6"/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5" t="n">
        <v>0</v>
      </c>
      <c r="N82" s="6"/>
      <c r="O82" s="6"/>
      <c r="P82" s="6"/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5" t="n">
        <v>0</v>
      </c>
      <c r="N83" s="6"/>
      <c r="O83" s="6"/>
      <c r="P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5" t="n">
        <v>0</v>
      </c>
      <c r="N84" s="6"/>
      <c r="O84" s="6"/>
      <c r="P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5" t="n">
        <v>0</v>
      </c>
      <c r="N85" s="6"/>
      <c r="O85" s="6"/>
      <c r="P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5" t="n">
        <v>0</v>
      </c>
      <c r="N86" s="6"/>
      <c r="O86" s="6"/>
      <c r="P86" s="6"/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5" t="n">
        <v>0</v>
      </c>
      <c r="N87" s="6"/>
      <c r="O87" s="6"/>
      <c r="P87" s="6"/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5" t="n">
        <v>0</v>
      </c>
      <c r="N88" s="6"/>
      <c r="O88" s="6"/>
      <c r="P88" s="6"/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5" t="n">
        <v>0</v>
      </c>
      <c r="N89" s="6"/>
      <c r="O89" s="6"/>
      <c r="P89" s="6"/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5" t="n">
        <v>0</v>
      </c>
      <c r="N90" s="6"/>
      <c r="O90" s="6"/>
      <c r="P90" s="6"/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5" t="n">
        <v>0</v>
      </c>
      <c r="N91" s="6"/>
      <c r="O91" s="6"/>
      <c r="P91" s="6"/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5" t="n">
        <v>0</v>
      </c>
      <c r="N92" s="6"/>
      <c r="O92" s="6"/>
      <c r="P92" s="6"/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5" t="n">
        <v>0</v>
      </c>
      <c r="N93" s="6"/>
      <c r="O93" s="6"/>
      <c r="P93" s="6"/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5" t="n">
        <v>0</v>
      </c>
      <c r="N94" s="6"/>
      <c r="O94" s="6"/>
      <c r="P94" s="6"/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5" t="n">
        <v>0</v>
      </c>
      <c r="N95" s="6"/>
      <c r="O95" s="6"/>
      <c r="P95" s="6"/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5" t="n">
        <v>0</v>
      </c>
      <c r="N96" s="6"/>
      <c r="O96" s="6"/>
      <c r="P96" s="6"/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5" t="n">
        <v>0</v>
      </c>
      <c r="N97" s="6"/>
      <c r="O97" s="6"/>
      <c r="P97" s="6"/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5" t="n">
        <v>0</v>
      </c>
      <c r="N98" s="6"/>
      <c r="O98" s="6"/>
      <c r="P98" s="6"/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5" t="n">
        <v>0</v>
      </c>
      <c r="N99" s="6"/>
      <c r="O99" s="6"/>
      <c r="P99" s="6"/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5" t="n">
        <v>0</v>
      </c>
      <c r="N100" s="6"/>
      <c r="O100" s="6"/>
      <c r="P100" s="6"/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5" t="n">
        <v>0</v>
      </c>
      <c r="N101" s="6"/>
      <c r="O101" s="6"/>
      <c r="P101" s="6"/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5" t="n">
        <v>0</v>
      </c>
      <c r="N102" s="6"/>
      <c r="O102" s="6"/>
      <c r="P102" s="6"/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5" t="n">
        <v>0</v>
      </c>
      <c r="N103" s="6"/>
      <c r="O103" s="6"/>
      <c r="P103" s="6"/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5" t="n">
        <v>0</v>
      </c>
      <c r="N104" s="6"/>
      <c r="O104" s="6"/>
      <c r="P104" s="6"/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5" t="n">
        <v>0</v>
      </c>
      <c r="N105" s="6"/>
      <c r="O105" s="6"/>
      <c r="P105" s="6"/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5" t="n">
        <v>0</v>
      </c>
      <c r="N106" s="6"/>
      <c r="O106" s="6"/>
      <c r="P106" s="6"/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5" t="n">
        <v>0</v>
      </c>
      <c r="N107" s="6"/>
      <c r="O107" s="6"/>
      <c r="P107" s="6"/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5" t="n">
        <v>0</v>
      </c>
      <c r="N108" s="6"/>
      <c r="O108" s="6"/>
      <c r="P108" s="6"/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5" t="n">
        <v>0</v>
      </c>
      <c r="N109" s="6"/>
      <c r="O109" s="6"/>
      <c r="P109" s="6"/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5" t="n">
        <v>0</v>
      </c>
      <c r="N110" s="6"/>
      <c r="O110" s="6"/>
      <c r="P110" s="6"/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5" t="n">
        <v>0</v>
      </c>
      <c r="N111" s="6"/>
      <c r="O111" s="6"/>
      <c r="P111" s="6"/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5" t="n">
        <v>0</v>
      </c>
      <c r="N112" s="6"/>
      <c r="O112" s="6"/>
      <c r="P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5" t="n">
        <v>0</v>
      </c>
      <c r="N113" s="6"/>
      <c r="O113" s="6"/>
      <c r="P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5" t="n">
        <v>0</v>
      </c>
      <c r="N114" s="6"/>
      <c r="O114" s="6"/>
      <c r="P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5" t="n">
        <v>0</v>
      </c>
      <c r="N115" s="6"/>
      <c r="O115" s="6"/>
      <c r="P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5" t="n">
        <v>0</v>
      </c>
      <c r="N116" s="6"/>
      <c r="O116" s="6"/>
      <c r="P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5" t="n">
        <v>0</v>
      </c>
      <c r="N117" s="6"/>
      <c r="O117" s="6"/>
      <c r="P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5" t="n">
        <v>0</v>
      </c>
      <c r="N118" s="6"/>
      <c r="O118" s="6"/>
      <c r="P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5" t="n">
        <v>0</v>
      </c>
      <c r="N119" s="6"/>
      <c r="O119" s="6"/>
      <c r="P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5" t="n">
        <v>0</v>
      </c>
      <c r="N120" s="6"/>
      <c r="O120" s="6"/>
      <c r="P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5" t="n">
        <v>0</v>
      </c>
      <c r="N121" s="6"/>
      <c r="O121" s="6"/>
      <c r="P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5" t="n">
        <v>0</v>
      </c>
      <c r="N122" s="6"/>
      <c r="O122" s="6"/>
      <c r="P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5" t="n">
        <v>0</v>
      </c>
      <c r="N123" s="6"/>
      <c r="O123" s="6"/>
      <c r="P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5" t="n">
        <v>0</v>
      </c>
      <c r="N124" s="6"/>
      <c r="O124" s="6"/>
      <c r="P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5" t="n">
        <v>0</v>
      </c>
      <c r="N125" s="6"/>
      <c r="O125" s="6"/>
      <c r="P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5" t="n">
        <v>0</v>
      </c>
      <c r="N126" s="6"/>
      <c r="O126" s="6"/>
      <c r="P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5" t="n">
        <v>0</v>
      </c>
      <c r="N127" s="6"/>
      <c r="O127" s="6"/>
      <c r="P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5" t="n">
        <v>0</v>
      </c>
      <c r="N128" s="6"/>
      <c r="O128" s="6"/>
      <c r="P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5" t="n">
        <v>0</v>
      </c>
      <c r="N129" s="6"/>
      <c r="O129" s="6"/>
      <c r="P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5" t="n">
        <v>0</v>
      </c>
      <c r="N130" s="6"/>
      <c r="O130" s="6"/>
      <c r="P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5" t="n">
        <v>0</v>
      </c>
      <c r="N131" s="6"/>
      <c r="O131" s="6"/>
      <c r="P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5" t="n">
        <v>0</v>
      </c>
      <c r="N132" s="6"/>
      <c r="O132" s="6"/>
      <c r="P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5" t="n">
        <v>0</v>
      </c>
      <c r="N133" s="6"/>
      <c r="O133" s="6"/>
      <c r="P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5" t="n">
        <v>0</v>
      </c>
      <c r="N134" s="6"/>
      <c r="O134" s="6"/>
      <c r="P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5" t="n">
        <v>0</v>
      </c>
      <c r="N135" s="6"/>
      <c r="O135" s="6"/>
      <c r="P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5" t="n">
        <v>0</v>
      </c>
      <c r="N136" s="6"/>
      <c r="O136" s="6"/>
      <c r="P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5" t="n">
        <v>0</v>
      </c>
      <c r="N137" s="6"/>
      <c r="O137" s="6"/>
      <c r="P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5" t="n">
        <v>0</v>
      </c>
      <c r="N138" s="6"/>
      <c r="O138" s="6"/>
      <c r="P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5" t="n">
        <v>0</v>
      </c>
      <c r="N139" s="6"/>
      <c r="O139" s="6"/>
      <c r="P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5" t="n">
        <v>0</v>
      </c>
      <c r="N140" s="6"/>
      <c r="O140" s="6"/>
      <c r="P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5" t="n">
        <v>0</v>
      </c>
      <c r="N141" s="6"/>
      <c r="O141" s="6"/>
      <c r="P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5" t="n">
        <v>0</v>
      </c>
      <c r="N142" s="6"/>
      <c r="O142" s="6"/>
      <c r="P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5" t="n">
        <v>0</v>
      </c>
      <c r="N143" s="6"/>
      <c r="O143" s="6"/>
      <c r="P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5" t="n">
        <v>0</v>
      </c>
      <c r="N144" s="6"/>
      <c r="O144" s="6"/>
      <c r="P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5" t="n">
        <v>0</v>
      </c>
      <c r="N145" s="6"/>
      <c r="O145" s="6"/>
      <c r="P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5" t="n">
        <v>0</v>
      </c>
      <c r="N146" s="6"/>
      <c r="O146" s="6"/>
      <c r="P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5" t="n">
        <v>0</v>
      </c>
      <c r="N147" s="6"/>
      <c r="O147" s="6"/>
      <c r="P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5" t="n">
        <v>0</v>
      </c>
      <c r="N148" s="6"/>
      <c r="O148" s="6"/>
      <c r="P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5" t="n">
        <v>0</v>
      </c>
      <c r="N149" s="6"/>
      <c r="O149" s="6"/>
      <c r="P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5" t="n">
        <v>0</v>
      </c>
      <c r="N150" s="6"/>
      <c r="O150" s="6"/>
      <c r="P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5" t="n">
        <v>0</v>
      </c>
      <c r="N151" s="6"/>
      <c r="O151" s="6"/>
      <c r="P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5" t="n">
        <v>0</v>
      </c>
      <c r="N152" s="6"/>
      <c r="O152" s="6"/>
      <c r="P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5" t="n">
        <v>0</v>
      </c>
      <c r="N153" s="6"/>
      <c r="O153" s="6"/>
      <c r="P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5" t="n">
        <v>0</v>
      </c>
      <c r="N154" s="6"/>
      <c r="O154" s="6"/>
      <c r="P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5" t="n">
        <v>0</v>
      </c>
      <c r="N155" s="6"/>
      <c r="O155" s="6"/>
      <c r="P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5" t="n">
        <v>0</v>
      </c>
      <c r="N156" s="6"/>
      <c r="O156" s="6"/>
      <c r="P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5" t="n">
        <v>0</v>
      </c>
      <c r="N157" s="6"/>
      <c r="O157" s="6"/>
      <c r="P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5" t="n">
        <v>0</v>
      </c>
      <c r="N158" s="6"/>
      <c r="O158" s="6"/>
      <c r="P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5" t="n">
        <v>0</v>
      </c>
      <c r="N159" s="6"/>
      <c r="O159" s="6"/>
      <c r="P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5" t="n">
        <v>0</v>
      </c>
      <c r="N160" s="6"/>
      <c r="O160" s="6"/>
      <c r="P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5" t="n">
        <v>0</v>
      </c>
      <c r="N161" s="6"/>
      <c r="O161" s="6"/>
      <c r="P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5" t="n">
        <v>0</v>
      </c>
      <c r="N162" s="6"/>
      <c r="O162" s="6"/>
      <c r="P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5" t="n">
        <v>0</v>
      </c>
      <c r="N163" s="6"/>
      <c r="O163" s="6"/>
      <c r="P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5" t="n">
        <v>0</v>
      </c>
      <c r="N164" s="6"/>
      <c r="O164" s="6"/>
      <c r="P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5" t="n">
        <v>0</v>
      </c>
      <c r="N165" s="6"/>
      <c r="O165" s="6"/>
      <c r="P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5" t="n">
        <v>0</v>
      </c>
      <c r="N166" s="6"/>
      <c r="O166" s="6"/>
      <c r="P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5" t="n">
        <v>0</v>
      </c>
      <c r="N167" s="6"/>
      <c r="O167" s="6"/>
      <c r="P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5" t="n">
        <v>0</v>
      </c>
      <c r="N168" s="6"/>
      <c r="O168" s="6"/>
      <c r="P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5" t="n">
        <v>0</v>
      </c>
      <c r="N169" s="6"/>
      <c r="O169" s="6"/>
      <c r="P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5" t="n">
        <v>0</v>
      </c>
      <c r="N170" s="6"/>
      <c r="O170" s="6"/>
      <c r="P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5" t="n">
        <v>0</v>
      </c>
      <c r="N171" s="6"/>
      <c r="O171" s="6"/>
      <c r="P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5" t="n">
        <v>0</v>
      </c>
      <c r="N172" s="6"/>
      <c r="O172" s="6"/>
      <c r="P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5" t="n">
        <v>0</v>
      </c>
      <c r="N173" s="6"/>
      <c r="O173" s="6"/>
      <c r="P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5" t="n">
        <v>0</v>
      </c>
      <c r="N174" s="6"/>
      <c r="O174" s="6"/>
      <c r="P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5" t="n">
        <v>0</v>
      </c>
      <c r="N175" s="6"/>
      <c r="O175" s="6"/>
      <c r="P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5" t="n">
        <v>0</v>
      </c>
      <c r="N176" s="6"/>
      <c r="O176" s="6"/>
      <c r="P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5" t="n">
        <v>0</v>
      </c>
      <c r="N177" s="6"/>
      <c r="O177" s="6"/>
      <c r="P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5" t="n">
        <v>0</v>
      </c>
      <c r="N178" s="6"/>
      <c r="O178" s="6"/>
      <c r="P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5" t="n">
        <v>0</v>
      </c>
      <c r="N179" s="6"/>
      <c r="O179" s="6"/>
      <c r="P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5" t="n">
        <v>0</v>
      </c>
      <c r="N180" s="6"/>
      <c r="O180" s="6"/>
      <c r="P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5" t="n">
        <v>0</v>
      </c>
      <c r="N181" s="6"/>
      <c r="O181" s="6"/>
      <c r="P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5" t="n">
        <v>0</v>
      </c>
      <c r="N182" s="6"/>
      <c r="O182" s="6"/>
      <c r="P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5" t="n">
        <v>0</v>
      </c>
      <c r="N183" s="6"/>
      <c r="O183" s="6"/>
      <c r="P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5" t="n">
        <v>0</v>
      </c>
      <c r="N184" s="6"/>
      <c r="O184" s="6"/>
      <c r="P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5" t="n">
        <v>0</v>
      </c>
      <c r="N185" s="6"/>
      <c r="O185" s="6"/>
      <c r="P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5" t="n">
        <v>0</v>
      </c>
      <c r="N186" s="6"/>
      <c r="O186" s="6"/>
      <c r="P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5" t="n">
        <v>0</v>
      </c>
      <c r="N187" s="6"/>
      <c r="O187" s="6"/>
      <c r="P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5" t="n">
        <v>0</v>
      </c>
      <c r="N188" s="6"/>
      <c r="O188" s="6"/>
      <c r="P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5" t="n">
        <v>0</v>
      </c>
      <c r="N189" s="6"/>
      <c r="O189" s="6"/>
      <c r="P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5" t="n">
        <v>0</v>
      </c>
      <c r="N190" s="6"/>
      <c r="O190" s="6"/>
      <c r="P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5" t="n">
        <v>0</v>
      </c>
      <c r="N191" s="6"/>
      <c r="O191" s="6"/>
      <c r="P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5" t="n">
        <v>0</v>
      </c>
      <c r="N192" s="6"/>
      <c r="O192" s="6"/>
      <c r="P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5" t="n">
        <v>0</v>
      </c>
      <c r="N193" s="6"/>
      <c r="O193" s="6"/>
      <c r="P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5" t="n">
        <v>0</v>
      </c>
      <c r="N194" s="6"/>
      <c r="O194" s="6"/>
      <c r="P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5" t="n">
        <v>0</v>
      </c>
      <c r="N195" s="6"/>
      <c r="O195" s="6"/>
      <c r="P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5" t="n">
        <v>0</v>
      </c>
      <c r="N196" s="6"/>
      <c r="O196" s="6"/>
      <c r="P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5" t="n">
        <v>0</v>
      </c>
      <c r="N197" s="6"/>
      <c r="O197" s="6"/>
      <c r="P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5" t="n">
        <v>0</v>
      </c>
      <c r="N198" s="6"/>
      <c r="O198" s="6"/>
      <c r="P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5" t="n">
        <v>0</v>
      </c>
      <c r="N199" s="6"/>
      <c r="O199" s="6"/>
      <c r="P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5" t="n">
        <v>0</v>
      </c>
      <c r="N200" s="6"/>
      <c r="O200" s="6"/>
      <c r="P200" s="6"/>
    </row>
    <row r="201" customFormat="false" ht="15" hidden="false" customHeight="fals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5" t="n">
        <v>0</v>
      </c>
      <c r="N201" s="6"/>
      <c r="O201" s="6"/>
      <c r="P201" s="6"/>
    </row>
    <row r="202" customFormat="false" ht="15" hidden="false" customHeight="fals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5" t="n">
        <v>0</v>
      </c>
      <c r="N202" s="6"/>
      <c r="O202" s="6"/>
      <c r="P202" s="6"/>
    </row>
    <row r="203" customFormat="false" ht="15" hidden="false" customHeight="fals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5" t="n">
        <v>0</v>
      </c>
      <c r="N203" s="6"/>
      <c r="O203" s="6"/>
      <c r="P203" s="6"/>
    </row>
    <row r="204" customFormat="false" ht="15" hidden="false" customHeight="fals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5" t="n">
        <v>0</v>
      </c>
      <c r="N204" s="6"/>
      <c r="O204" s="6"/>
      <c r="P204" s="6"/>
    </row>
    <row r="205" customFormat="false" ht="15" hidden="false" customHeight="fals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5" t="n">
        <v>0</v>
      </c>
      <c r="N205" s="6"/>
      <c r="O205" s="6"/>
      <c r="P205" s="6"/>
    </row>
    <row r="206" customFormat="false" ht="15" hidden="false" customHeight="fals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5" t="n">
        <v>0</v>
      </c>
      <c r="N206" s="6"/>
      <c r="O206" s="6"/>
      <c r="P206" s="6"/>
    </row>
    <row r="207" customFormat="false" ht="15" hidden="false" customHeight="fals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5" t="n">
        <v>0</v>
      </c>
      <c r="N207" s="6"/>
      <c r="O207" s="6"/>
      <c r="P207" s="6"/>
    </row>
    <row r="208" customFormat="false" ht="15" hidden="false" customHeight="fals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5" t="n">
        <v>0</v>
      </c>
      <c r="N208" s="6"/>
      <c r="O208" s="6"/>
      <c r="P208" s="6"/>
    </row>
    <row r="209" customFormat="false" ht="15" hidden="false" customHeight="fals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5" t="n">
        <v>0</v>
      </c>
      <c r="N209" s="6"/>
      <c r="O209" s="6"/>
      <c r="P209" s="6"/>
    </row>
    <row r="210" customFormat="false" ht="15" hidden="false" customHeight="fals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5" t="n">
        <v>0</v>
      </c>
      <c r="N210" s="6"/>
      <c r="O210" s="6"/>
      <c r="P210" s="6"/>
    </row>
    <row r="211" customFormat="false" ht="15" hidden="false" customHeight="fals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5" t="n">
        <v>0</v>
      </c>
      <c r="N211" s="6"/>
      <c r="O211" s="6"/>
      <c r="P211" s="6"/>
    </row>
    <row r="212" customFormat="false" ht="15" hidden="false" customHeight="fals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5" t="n">
        <v>0</v>
      </c>
      <c r="N212" s="6"/>
      <c r="O212" s="6"/>
      <c r="P212" s="6"/>
    </row>
    <row r="213" customFormat="false" ht="15" hidden="false" customHeight="fals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5" t="n">
        <v>0</v>
      </c>
      <c r="N213" s="6"/>
      <c r="O213" s="6"/>
      <c r="P213" s="6"/>
    </row>
    <row r="214" customFormat="false" ht="15" hidden="false" customHeight="fals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5" t="n">
        <v>0</v>
      </c>
      <c r="N214" s="6"/>
      <c r="O214" s="6"/>
      <c r="P214" s="6"/>
    </row>
    <row r="215" customFormat="false" ht="15" hidden="false" customHeight="fals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5" t="n">
        <v>0</v>
      </c>
      <c r="N215" s="6"/>
      <c r="O215" s="6"/>
      <c r="P215" s="6"/>
    </row>
    <row r="216" customFormat="false" ht="15" hidden="false" customHeight="fals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5" t="n">
        <v>0</v>
      </c>
      <c r="N216" s="6"/>
      <c r="O216" s="6"/>
      <c r="P216" s="6"/>
    </row>
    <row r="217" customFormat="false" ht="15" hidden="false" customHeight="fals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5" t="n">
        <v>0</v>
      </c>
      <c r="N217" s="6"/>
      <c r="O217" s="6"/>
      <c r="P217" s="6"/>
    </row>
    <row r="218" customFormat="false" ht="15" hidden="false" customHeight="fals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5" t="n">
        <v>0</v>
      </c>
      <c r="N218" s="6"/>
      <c r="O218" s="6"/>
      <c r="P218" s="6"/>
    </row>
    <row r="219" customFormat="false" ht="15" hidden="false" customHeight="fals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5" t="n">
        <v>0</v>
      </c>
      <c r="N219" s="6"/>
      <c r="O219" s="6"/>
      <c r="P219" s="6"/>
    </row>
    <row r="220" customFormat="false" ht="15" hidden="false" customHeight="fals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5" t="n">
        <v>0</v>
      </c>
      <c r="N220" s="6"/>
      <c r="O220" s="6"/>
      <c r="P220" s="6"/>
    </row>
  </sheetData>
  <mergeCells count="2">
    <mergeCell ref="A1:P1"/>
    <mergeCell ref="A2:P2"/>
  </mergeCells>
  <dataValidations count="5">
    <dataValidation allowBlank="true" error="Pick a status from the list" errorStyle="stop" operator="between" prompt="Move the prospect along the pipeline" showDropDown="false" showErrorMessage="false" showInputMessage="false" sqref="I4:I220" type="list">
      <formula1>"To Contact,Contacted,Replied,In Conversation,Demo Booked,Signed Up,Event Live,Not Interested,Parked"</formula1>
      <formula2>0</formula2>
    </dataValidation>
    <dataValidation allowBlank="true" errorStyle="stop" operator="between" showDropDown="false" showErrorMessage="false" showInputMessage="false" sqref="J4:J220" type="list">
      <formula1>"High,Medium,Low"</formula1>
      <formula2>0</formula2>
    </dataValidation>
    <dataValidation allowBlank="true" errorStyle="stop" operator="between" showDropDown="false" showErrorMessage="false" showInputMessage="false" sqref="C4:C220" type="list">
      <formula1>"Geelong,Melbourne,Other"</formula1>
      <formula2>0</formula2>
    </dataValidation>
    <dataValidation allowBlank="true" errorStyle="stop" operator="between" showDropDown="false" showErrorMessage="false" showInputMessage="false" sqref="F4:F220" type="list">
      <formula1>"Instagram DM,Facebook DM,Email,LinkedIn,In Person,Phone"</formula1>
      <formula2>0</formula2>
    </dataValidation>
    <dataValidation allowBlank="true" errorStyle="stop" operator="between" showDropDown="false" showErrorMessage="false" showInputMessage="false" sqref="E4:E220" type="list">
      <formula1>"None,Eventbrite,Humanitix,TryBooking,Moshtix,Oztix,Trybooking,Ticketek,Other"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6"/>
  </cols>
  <sheetData>
    <row r="1" customFormat="false" ht="30" hidden="false" customHeight="true" outlineLevel="0" collapsed="false">
      <c r="A1" s="1" t="s">
        <v>43</v>
      </c>
      <c r="B1" s="1"/>
      <c r="C1" s="1"/>
      <c r="D1" s="1"/>
    </row>
    <row r="3" customFormat="false" ht="15" hidden="false" customHeight="false" outlineLevel="0" collapsed="false">
      <c r="A3" s="7" t="s">
        <v>44</v>
      </c>
      <c r="B3" s="8" t="n">
        <f aca="false">COUNTA(Pipeline!A4:A220)</f>
        <v>3</v>
      </c>
      <c r="C3" s="9" t="s">
        <v>45</v>
      </c>
    </row>
    <row r="4" customFormat="false" ht="15" hidden="false" customHeight="false" outlineLevel="0" collapsed="false">
      <c r="A4" s="7" t="s">
        <v>46</v>
      </c>
      <c r="B4" s="8" t="n">
        <f aca="false">COUNTIF(Pipeline!I4:I220,"To Contact")</f>
        <v>3</v>
      </c>
      <c r="C4" s="6" t="s">
        <v>47</v>
      </c>
      <c r="D4" s="10" t="n">
        <v>50</v>
      </c>
    </row>
    <row r="5" customFormat="false" ht="15" hidden="false" customHeight="false" outlineLevel="0" collapsed="false">
      <c r="A5" s="7" t="s">
        <v>48</v>
      </c>
      <c r="B5" s="8" t="n">
        <f aca="false">COUNTIF(Pipeline!I4:I220,"Contacted")</f>
        <v>0</v>
      </c>
      <c r="C5" s="6" t="s">
        <v>49</v>
      </c>
      <c r="D5" s="10" t="n">
        <f aca="false">COUNTIF(Pipeline!I4:I220,"Signed Up")+COUNTIF(Pipeline!I4:I220,"Event Live")</f>
        <v>0</v>
      </c>
    </row>
    <row r="6" customFormat="false" ht="15" hidden="false" customHeight="false" outlineLevel="0" collapsed="false">
      <c r="A6" s="7" t="s">
        <v>50</v>
      </c>
      <c r="B6" s="8" t="n">
        <f aca="false">COUNTIF(Pipeline!I4:I220,"Replied")</f>
        <v>0</v>
      </c>
      <c r="C6" s="6" t="s">
        <v>51</v>
      </c>
      <c r="D6" s="11" t="n">
        <f aca="false">D4-D5</f>
        <v>50</v>
      </c>
    </row>
    <row r="7" customFormat="false" ht="15" hidden="false" customHeight="false" outlineLevel="0" collapsed="false">
      <c r="A7" s="7" t="s">
        <v>52</v>
      </c>
      <c r="B7" s="8" t="n">
        <f aca="false">COUNTIF(Pipeline!I4:I220,"In Conversation")</f>
        <v>0</v>
      </c>
    </row>
    <row r="8" customFormat="false" ht="15" hidden="false" customHeight="false" outlineLevel="0" collapsed="false">
      <c r="A8" s="7" t="s">
        <v>53</v>
      </c>
      <c r="B8" s="8" t="n">
        <f aca="false">COUNTIF(Pipeline!I4:I220,"Demo Booked")</f>
        <v>0</v>
      </c>
      <c r="C8" s="9" t="s">
        <v>54</v>
      </c>
    </row>
    <row r="9" customFormat="false" ht="15" hidden="false" customHeight="false" outlineLevel="0" collapsed="false">
      <c r="A9" s="7" t="s">
        <v>55</v>
      </c>
      <c r="B9" s="8" t="n">
        <f aca="false">COUNTIF(Pipeline!I4:I220,"Signed Up")</f>
        <v>0</v>
      </c>
      <c r="C9" s="6" t="s">
        <v>56</v>
      </c>
      <c r="D9" s="12" t="n">
        <f aca="false">IFERROR((COUNTIF(Pipeline!I4:I220,"Replied")+COUNTIF(Pipeline!I4:I220,"In Conversation")+COUNTIF(Pipeline!I4:I220,"Demo Booked")+COUNTIF(Pipeline!I4:I220,"Signed Up")+COUNTIF(Pipeline!I4:I220,"Event Live"))/(COUNTIF(Pipeline!I4:I220,"Contacted")+COUNTIF(Pipeline!I4:I220,"Replied")+COUNTIF(Pipeline!I4:I220,"In Conversation")+COUNTIF(Pipeline!I4:I220,"Demo Booked")+COUNTIF(Pipeline!I4:I220,"Signed Up")+COUNTIF(Pipeline!I4:I220,"Event Live")),0)</f>
        <v>0</v>
      </c>
    </row>
    <row r="10" customFormat="false" ht="15" hidden="false" customHeight="false" outlineLevel="0" collapsed="false">
      <c r="A10" s="7" t="s">
        <v>57</v>
      </c>
      <c r="B10" s="8" t="n">
        <f aca="false">COUNTIF(Pipeline!I4:I220,"Event Live")</f>
        <v>0</v>
      </c>
      <c r="C10" s="6" t="s">
        <v>58</v>
      </c>
      <c r="D10" s="12" t="n">
        <f aca="false">IFERROR((COUNTIF(Pipeline!I4:I220,"Signed Up")+COUNTIF(Pipeline!I4:I220,"Event Live"))/(COUNTIF(Pipeline!I4:I220,"Contacted")+COUNTIF(Pipeline!I4:I220,"Replied")+COUNTIF(Pipeline!I4:I220,"In Conversation")+COUNTIF(Pipeline!I4:I220,"Demo Booked")+COUNTIF(Pipeline!I4:I220,"Signed Up")+COUNTIF(Pipeline!I4:I220,"Event Live")),0)</f>
        <v>0</v>
      </c>
    </row>
    <row r="11" customFormat="false" ht="15" hidden="false" customHeight="false" outlineLevel="0" collapsed="false">
      <c r="A11" s="7" t="s">
        <v>59</v>
      </c>
      <c r="B11" s="8" t="n">
        <f aca="false">COUNTIF(Pipeline!I4:I220,"Not Interested")</f>
        <v>0</v>
      </c>
    </row>
    <row r="12" customFormat="false" ht="15" hidden="false" customHeight="false" outlineLevel="0" collapsed="false">
      <c r="A12" s="2" t="s">
        <v>60</v>
      </c>
      <c r="B12" s="2"/>
      <c r="C12" s="2"/>
      <c r="D12" s="2"/>
    </row>
  </sheetData>
  <mergeCells count="2">
    <mergeCell ref="A1:D1"/>
    <mergeCell ref="A12:D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5" hidden="false" customHeight="false" outlineLevel="0" collapsed="false">
      <c r="A1" s="13" t="s">
        <v>61</v>
      </c>
    </row>
    <row r="2" customFormat="false" ht="15" hidden="false" customHeight="false" outlineLevel="0" collapsed="false">
      <c r="A2" s="14"/>
    </row>
    <row r="3" customFormat="false" ht="15" hidden="false" customHeight="false" outlineLevel="0" collapsed="false">
      <c r="A3" s="14" t="s">
        <v>62</v>
      </c>
    </row>
    <row r="4" customFormat="false" ht="15" hidden="false" customHeight="false" outlineLevel="0" collapsed="false">
      <c r="A4" s="14" t="s">
        <v>63</v>
      </c>
    </row>
    <row r="5" customFormat="false" ht="15" hidden="false" customHeight="false" outlineLevel="0" collapsed="false">
      <c r="A5" s="14" t="s">
        <v>64</v>
      </c>
    </row>
    <row r="6" customFormat="false" ht="15" hidden="false" customHeight="false" outlineLevel="0" collapsed="false">
      <c r="A6" s="14" t="s">
        <v>65</v>
      </c>
    </row>
    <row r="7" customFormat="false" ht="15" hidden="false" customHeight="false" outlineLevel="0" collapsed="false">
      <c r="A7" s="14"/>
    </row>
    <row r="8" customFormat="false" ht="15" hidden="false" customHeight="false" outlineLevel="0" collapsed="false">
      <c r="A8" s="13" t="s">
        <v>66</v>
      </c>
    </row>
    <row r="9" customFormat="false" ht="15" hidden="false" customHeight="false" outlineLevel="0" collapsed="false">
      <c r="A9" s="14" t="s">
        <v>67</v>
      </c>
    </row>
    <row r="10" customFormat="false" ht="15" hidden="false" customHeight="false" outlineLevel="0" collapsed="false">
      <c r="A10" s="14" t="s">
        <v>68</v>
      </c>
    </row>
    <row r="11" customFormat="false" ht="15" hidden="false" customHeight="false" outlineLevel="0" collapsed="false">
      <c r="A11" s="14" t="s">
        <v>69</v>
      </c>
    </row>
    <row r="12" customFormat="false" ht="15" hidden="false" customHeight="false" outlineLevel="0" collapsed="false">
      <c r="A12" s="14"/>
    </row>
    <row r="13" customFormat="false" ht="15" hidden="false" customHeight="false" outlineLevel="0" collapsed="false">
      <c r="A13" s="13" t="s">
        <v>70</v>
      </c>
    </row>
    <row r="14" customFormat="false" ht="15" hidden="false" customHeight="false" outlineLevel="0" collapsed="false">
      <c r="A14" s="14" t="s">
        <v>71</v>
      </c>
    </row>
    <row r="15" customFormat="false" ht="15" hidden="false" customHeight="false" outlineLevel="0" collapsed="false">
      <c r="A15" s="14" t="s">
        <v>72</v>
      </c>
    </row>
    <row r="16" customFormat="false" ht="15" hidden="false" customHeight="false" outlineLevel="0" collapsed="false">
      <c r="A16" s="14"/>
    </row>
    <row r="17" customFormat="false" ht="15" hidden="false" customHeight="false" outlineLevel="0" collapsed="false">
      <c r="A17" s="13" t="s">
        <v>73</v>
      </c>
    </row>
    <row r="18" customFormat="false" ht="15" hidden="false" customHeight="false" outlineLevel="0" collapsed="false">
      <c r="A18" s="14" t="s">
        <v>74</v>
      </c>
    </row>
    <row r="19" customFormat="false" ht="15" hidden="false" customHeight="false" outlineLevel="0" collapsed="false">
      <c r="A19" s="14" t="s">
        <v>75</v>
      </c>
    </row>
    <row r="20" customFormat="false" ht="15" hidden="false" customHeight="false" outlineLevel="0" collapsed="false">
      <c r="A20" s="14"/>
    </row>
    <row r="21" customFormat="false" ht="15" hidden="false" customHeight="false" outlineLevel="0" collapsed="false">
      <c r="A21" s="13" t="s">
        <v>76</v>
      </c>
    </row>
    <row r="22" customFormat="false" ht="15" hidden="false" customHeight="false" outlineLevel="0" collapsed="false">
      <c r="A22" s="14" t="s">
        <v>77</v>
      </c>
    </row>
    <row r="23" customFormat="false" ht="15" hidden="false" customHeight="false" outlineLevel="0" collapsed="false">
      <c r="A23" s="14" t="s">
        <v>78</v>
      </c>
    </row>
    <row r="24" customFormat="false" ht="15" hidden="false" customHeight="false" outlineLevel="0" collapsed="false">
      <c r="A24" s="14" t="s">
        <v>79</v>
      </c>
    </row>
    <row r="25" customFormat="false" ht="15" hidden="false" customHeight="false" outlineLevel="0" collapsed="false">
      <c r="A25" s="14"/>
    </row>
    <row r="26" customFormat="false" ht="15" hidden="false" customHeight="false" outlineLevel="0" collapsed="false">
      <c r="A26" s="13" t="s">
        <v>80</v>
      </c>
    </row>
    <row r="27" customFormat="false" ht="15" hidden="false" customHeight="false" outlineLevel="0" collapsed="false">
      <c r="A27" s="14" t="s">
        <v>81</v>
      </c>
    </row>
    <row r="28" customFormat="false" ht="15" hidden="false" customHeight="false" outlineLevel="0" collapsed="false">
      <c r="A28" s="14" t="s">
        <v>82</v>
      </c>
    </row>
    <row r="29" customFormat="false" ht="15" hidden="false" customHeight="false" outlineLevel="0" collapsed="false">
      <c r="A29" s="14"/>
    </row>
    <row r="30" customFormat="false" ht="15" hidden="false" customHeight="false" outlineLevel="0" collapsed="false">
      <c r="A30" s="13" t="s">
        <v>83</v>
      </c>
    </row>
    <row r="31" customFormat="false" ht="15" hidden="false" customHeight="false" outlineLevel="0" collapsed="false">
      <c r="A31" s="14" t="s">
        <v>84</v>
      </c>
    </row>
    <row r="32" customFormat="false" ht="15" hidden="false" customHeight="false" outlineLevel="0" collapsed="false">
      <c r="A32" s="14" t="s">
        <v>85</v>
      </c>
    </row>
    <row r="33" customFormat="false" ht="15" hidden="false" customHeight="false" outlineLevel="0" collapsed="false">
      <c r="A33" s="14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2026-07-06T20:26:40Z</dcterms:created>
  <dc:creator>openpyxl</dc:creator>
  <dc:description/>
  <dc:language>en-US</dc:language>
  <cp:lastModifiedBy/>
  <dcterms:modified xsi:type="dcterms:W3CDTF">2026-07-06T20:26:40Z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